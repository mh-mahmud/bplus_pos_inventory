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BP,SP,VIP,TZ,3Pcs " sheetId="6" r:id="rId1"/>
    <sheet name="TAT" sheetId="1" r:id="rId2"/>
    <sheet name="EX " sheetId="2" r:id="rId3"/>
    <sheet name="Lungi" sheetId="3" r:id="rId4"/>
    <sheet name="am, tx" sheetId="5" r:id="rId5"/>
    <sheet name="Plz" sheetId="4" r:id="rId6"/>
  </sheets>
  <calcPr calcId="124519"/>
</workbook>
</file>

<file path=xl/calcChain.xml><?xml version="1.0" encoding="utf-8"?>
<calcChain xmlns="http://schemas.openxmlformats.org/spreadsheetml/2006/main">
  <c r="B7" i="6"/>
  <c r="C6"/>
  <c r="C5"/>
  <c r="C4"/>
  <c r="C7" s="1"/>
  <c r="C3"/>
  <c r="C2"/>
  <c r="B3" i="5"/>
  <c r="A3"/>
  <c r="D2" i="4" l="1"/>
  <c r="C42" i="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2" s="1"/>
  <c r="D4"/>
  <c r="D3"/>
  <c r="H53" i="2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53" s="1"/>
  <c r="C18"/>
  <c r="D18"/>
  <c r="C11"/>
  <c r="D17"/>
  <c r="D15"/>
  <c r="D14"/>
  <c r="D10"/>
  <c r="D9"/>
  <c r="D8"/>
  <c r="D7"/>
  <c r="D6"/>
  <c r="D5"/>
  <c r="D4"/>
  <c r="C133" i="1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4"/>
  <c r="B133"/>
  <c r="D11" i="2" l="1"/>
</calcChain>
</file>

<file path=xl/sharedStrings.xml><?xml version="1.0" encoding="utf-8"?>
<sst xmlns="http://schemas.openxmlformats.org/spreadsheetml/2006/main" count="110" uniqueCount="110">
  <si>
    <t>Tat</t>
  </si>
  <si>
    <t>ex1</t>
  </si>
  <si>
    <t>ex2</t>
  </si>
  <si>
    <t>ex3</t>
  </si>
  <si>
    <t>ex4</t>
  </si>
  <si>
    <t>ex5</t>
  </si>
  <si>
    <t>ex6</t>
  </si>
  <si>
    <t>ex7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</si>
  <si>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</si>
  <si>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</si>
  <si>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</si>
  <si>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</si>
  <si>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</si>
  <si>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</si>
  <si>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</si>
  <si>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</si>
  <si>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</si>
  <si>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</si>
  <si>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</si>
  <si>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</si>
  <si>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</si>
  <si>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</si>
  <si>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</si>
  <si>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</si>
  <si>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</si>
  <si>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</si>
  <si>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</si>
  <si>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</si>
  <si>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</si>
  <si>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</si>
  <si>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</si>
  <si>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</si>
  <si>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</si>
  <si>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</si>
  <si>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</si>
  <si>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</si>
  <si>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</si>
  <si>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</si>
  <si>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</si>
  <si>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</si>
  <si>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</si>
  <si>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</si>
  <si>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</si>
  <si>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</si>
  <si>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</si>
  <si>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</si>
  <si>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</si>
  <si>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</si>
  <si>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</si>
  <si>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</si>
  <si>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</si>
  <si>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</si>
  <si>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IC54</t>
  </si>
  <si>
    <t>IC55</t>
  </si>
  <si>
    <t>IC56</t>
  </si>
  <si>
    <t>IC57</t>
  </si>
  <si>
    <t>IC58</t>
  </si>
  <si>
    <t>TOTAL</t>
  </si>
  <si>
    <t>Ic 3pcs</t>
  </si>
  <si>
    <t>3p Ex</t>
  </si>
  <si>
    <t>exA1</t>
  </si>
  <si>
    <t>exA2</t>
  </si>
  <si>
    <t>LUNGI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</si>
  <si>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</si>
  <si>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</si>
  <si>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</si>
  <si>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</si>
  <si>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</si>
  <si>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</si>
  <si>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</si>
  <si>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</si>
  <si>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</si>
  <si>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</si>
  <si>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</si>
  <si>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</si>
  <si>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</si>
  <si>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</si>
  <si>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</si>
  <si>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</si>
  <si>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</si>
  <si>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</si>
  <si>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</si>
  <si>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</si>
  <si>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</si>
  <si>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</si>
  <si>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</si>
  <si>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</si>
  <si>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</si>
  <si>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</si>
  <si>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</si>
  <si>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</si>
  <si>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</si>
  <si>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</si>
  <si>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</si>
  <si>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</si>
  <si>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</si>
  <si>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</si>
  <si>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</si>
  <si>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</si>
  <si>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</si>
  <si>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</si>
  <si>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PLZ</t>
  </si>
  <si>
    <t>PLZ- 4</t>
  </si>
  <si>
    <t>Tx</t>
  </si>
  <si>
    <t>Am</t>
  </si>
  <si>
    <t>BP</t>
  </si>
  <si>
    <t>SP</t>
  </si>
  <si>
    <t>VIP</t>
  </si>
  <si>
    <t>TZ</t>
  </si>
  <si>
    <t>3PCES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</si>
</sst>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H23" sqref="H23"/>
    </sheetView>
  </sheetViews>
  <sheetFormatPr defaultRowHeight="15"/>
  <sheetData>
    <row r="1" spans="1:3">
      <c r="A1" s="8">
        <v>43107</v>
      </c>
      <c r="B1" s="2"/>
      <c r="C1" s="2"/>
    </row>
    <row r="2" spans="1:3">
      <c r="A2" s="1" t="s">
        <v>105</v>
      </c>
      <c r="B2" s="1">
        <v>281</v>
      </c>
      <c r="C2" s="1">
        <f>850*B2</f>
        <v>238850</v>
      </c>
    </row>
    <row r="3" spans="1:3">
      <c r="A3" s="1" t="s">
        <v>106</v>
      </c>
      <c r="B3" s="1">
        <v>987</v>
      </c>
      <c r="C3" s="1">
        <f>950*B3</f>
        <v>937650</v>
      </c>
    </row>
    <row r="4" spans="1:3">
      <c r="A4" s="1" t="s">
        <v>107</v>
      </c>
      <c r="B4" s="1">
        <v>723</v>
      </c>
      <c r="C4" s="1">
        <f>1050*B4</f>
        <v>759150</v>
      </c>
    </row>
    <row r="5" spans="1:3">
      <c r="A5" s="1" t="s">
        <v>108</v>
      </c>
      <c r="B5" s="1">
        <v>938</v>
      </c>
      <c r="C5" s="1">
        <f>1150*B5</f>
        <v>1078700</v>
      </c>
    </row>
    <row r="6" spans="1:3">
      <c r="A6" s="1" t="s">
        <v>109</v>
      </c>
      <c r="B6" s="1">
        <v>1120</v>
      </c>
      <c r="C6" s="1">
        <f>1050*B6</f>
        <v>1176000</v>
      </c>
    </row>
    <row r="7" spans="1:3">
      <c r="A7" s="1"/>
      <c r="B7" s="1">
        <f>SUM(B2:B6)</f>
        <v>4049</v>
      </c>
      <c r="C7" s="1">
        <f>SUM(C2:C6)</f>
        <v>4190350</v>
      </c>
    </row>
    <row r="8" spans="1:3">
      <c r="A8" s="1"/>
      <c r="B8" s="1"/>
      <c r="C8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4"/>
  <sheetViews>
    <sheetView workbookViewId="0">
      <selection activeCell="F22" sqref="F22"/>
    </sheetView>
  </sheetViews>
  <sheetFormatPr defaultRowHeight="15"/>
  <sheetData>
    <row r="1" spans="1:3">
      <c r="A1" s="2" t="s">
        <v>0</v>
      </c>
      <c r="B1" s="2"/>
      <c r="C1" s="2"/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1">
        <v>350</v>
      </c>
      <c r="B4" s="1">
        <v>11</v>
      </c>
      <c r="C4" s="1">
        <f>B4*A4</f>
        <v>3850</v>
      </c>
    </row>
    <row r="5" spans="1:3">
      <c r="A5" s="1">
        <v>450</v>
      </c>
      <c r="B5" s="1">
        <v>2</v>
      </c>
      <c r="C5" s="1">
        <f t="shared" ref="C5:C68" si="0">B5*A5</f>
        <v>900</v>
      </c>
    </row>
    <row r="6" spans="1:3">
      <c r="A6" s="1">
        <v>550</v>
      </c>
      <c r="B6" s="1">
        <v>1</v>
      </c>
      <c r="C6" s="1">
        <f t="shared" si="0"/>
        <v>550</v>
      </c>
    </row>
    <row r="7" spans="1:3">
      <c r="A7" s="1">
        <v>650</v>
      </c>
      <c r="B7" s="1">
        <v>119</v>
      </c>
      <c r="C7" s="1">
        <f t="shared" si="0"/>
        <v>77350</v>
      </c>
    </row>
    <row r="8" spans="1:3">
      <c r="A8" s="1">
        <v>750</v>
      </c>
      <c r="B8" s="1">
        <v>34</v>
      </c>
      <c r="C8" s="1">
        <f t="shared" si="0"/>
        <v>25500</v>
      </c>
    </row>
    <row r="9" spans="1:3">
      <c r="A9" s="1">
        <v>850</v>
      </c>
      <c r="B9" s="1">
        <v>161</v>
      </c>
      <c r="C9" s="1">
        <f t="shared" si="0"/>
        <v>136850</v>
      </c>
    </row>
    <row r="10" spans="1:3">
      <c r="A10" s="1">
        <v>950</v>
      </c>
      <c r="B10" s="1">
        <v>91</v>
      </c>
      <c r="C10" s="1">
        <f t="shared" si="0"/>
        <v>86450</v>
      </c>
    </row>
    <row r="11" spans="1:3">
      <c r="A11" s="1">
        <v>1050</v>
      </c>
      <c r="B11" s="1">
        <v>31</v>
      </c>
      <c r="C11" s="1">
        <f t="shared" si="0"/>
        <v>32550</v>
      </c>
    </row>
    <row r="12" spans="1:3">
      <c r="A12" s="1">
        <v>1150</v>
      </c>
      <c r="B12" s="1">
        <v>80</v>
      </c>
      <c r="C12" s="1">
        <f t="shared" si="0"/>
        <v>92000</v>
      </c>
    </row>
    <row r="13" spans="1:3">
      <c r="A13" s="1">
        <v>1250</v>
      </c>
      <c r="B13" s="1">
        <v>23</v>
      </c>
      <c r="C13" s="1">
        <f t="shared" si="0"/>
        <v>28750</v>
      </c>
    </row>
    <row r="14" spans="1:3">
      <c r="A14" s="1">
        <v>1350</v>
      </c>
      <c r="B14" s="1">
        <v>45</v>
      </c>
      <c r="C14" s="1">
        <f t="shared" si="0"/>
        <v>60750</v>
      </c>
    </row>
    <row r="15" spans="1:3">
      <c r="A15" s="1">
        <v>1450</v>
      </c>
      <c r="B15" s="1">
        <v>61</v>
      </c>
      <c r="C15" s="1">
        <f t="shared" si="0"/>
        <v>88450</v>
      </c>
    </row>
    <row r="16" spans="1:3">
      <c r="A16" s="1">
        <v>1550</v>
      </c>
      <c r="B16" s="1">
        <v>66</v>
      </c>
      <c r="C16" s="1">
        <f t="shared" si="0"/>
        <v>102300</v>
      </c>
    </row>
    <row r="17" spans="1:3">
      <c r="A17" s="1">
        <v>1650</v>
      </c>
      <c r="B17" s="1">
        <v>28</v>
      </c>
      <c r="C17" s="1">
        <f t="shared" si="0"/>
        <v>46200</v>
      </c>
    </row>
    <row r="18" spans="1:3">
      <c r="A18" s="1">
        <v>1750</v>
      </c>
      <c r="B18" s="1">
        <v>46</v>
      </c>
      <c r="C18" s="1">
        <f t="shared" si="0"/>
        <v>80500</v>
      </c>
    </row>
    <row r="19" spans="1:3">
      <c r="A19" s="1">
        <v>1850</v>
      </c>
      <c r="B19" s="1">
        <v>46</v>
      </c>
      <c r="C19" s="1">
        <f t="shared" si="0"/>
        <v>85100</v>
      </c>
    </row>
    <row r="20" spans="1:3">
      <c r="A20" s="1">
        <v>1950</v>
      </c>
      <c r="B20" s="1">
        <v>44</v>
      </c>
      <c r="C20" s="1">
        <f t="shared" si="0"/>
        <v>85800</v>
      </c>
    </row>
    <row r="21" spans="1:3">
      <c r="A21" s="1">
        <v>2050</v>
      </c>
      <c r="B21" s="1">
        <v>10</v>
      </c>
      <c r="C21" s="1">
        <f t="shared" si="0"/>
        <v>20500</v>
      </c>
    </row>
    <row r="22" spans="1:3">
      <c r="A22" s="1">
        <v>2150</v>
      </c>
      <c r="B22" s="1">
        <v>49</v>
      </c>
      <c r="C22" s="1">
        <f t="shared" si="0"/>
        <v>105350</v>
      </c>
    </row>
    <row r="23" spans="1:3">
      <c r="A23" s="1">
        <v>2250</v>
      </c>
      <c r="B23" s="1">
        <v>33</v>
      </c>
      <c r="C23" s="1">
        <f t="shared" si="0"/>
        <v>74250</v>
      </c>
    </row>
    <row r="24" spans="1:3">
      <c r="A24" s="1">
        <v>2350</v>
      </c>
      <c r="B24" s="1">
        <v>38</v>
      </c>
      <c r="C24" s="1">
        <f t="shared" si="0"/>
        <v>89300</v>
      </c>
    </row>
    <row r="25" spans="1:3">
      <c r="A25" s="1">
        <v>2450</v>
      </c>
      <c r="B25" s="1">
        <v>47</v>
      </c>
      <c r="C25" s="1">
        <f t="shared" si="0"/>
        <v>115150</v>
      </c>
    </row>
    <row r="26" spans="1:3">
      <c r="A26" s="1">
        <v>2550</v>
      </c>
      <c r="B26" s="1">
        <v>40</v>
      </c>
      <c r="C26" s="1">
        <f t="shared" si="0"/>
        <v>102000</v>
      </c>
    </row>
    <row r="27" spans="1:3">
      <c r="A27" s="1">
        <v>2650</v>
      </c>
      <c r="B27" s="1">
        <v>16</v>
      </c>
      <c r="C27" s="1">
        <f t="shared" si="0"/>
        <v>42400</v>
      </c>
    </row>
    <row r="28" spans="1:3">
      <c r="A28" s="1">
        <v>2750</v>
      </c>
      <c r="B28" s="1">
        <v>26</v>
      </c>
      <c r="C28" s="1">
        <f t="shared" si="0"/>
        <v>71500</v>
      </c>
    </row>
    <row r="29" spans="1:3">
      <c r="A29" s="1">
        <v>2850</v>
      </c>
      <c r="B29" s="1">
        <v>20</v>
      </c>
      <c r="C29" s="1">
        <f t="shared" si="0"/>
        <v>57000</v>
      </c>
    </row>
    <row r="30" spans="1:3">
      <c r="A30" s="1">
        <v>2950</v>
      </c>
      <c r="B30" s="1">
        <v>10</v>
      </c>
      <c r="C30" s="1">
        <f t="shared" si="0"/>
        <v>29500</v>
      </c>
    </row>
    <row r="31" spans="1:3">
      <c r="A31" s="1">
        <v>3050</v>
      </c>
      <c r="B31" s="1">
        <v>26</v>
      </c>
      <c r="C31" s="1">
        <f t="shared" si="0"/>
        <v>79300</v>
      </c>
    </row>
    <row r="32" spans="1:3">
      <c r="A32" s="1">
        <v>3150</v>
      </c>
      <c r="B32" s="1">
        <v>20</v>
      </c>
      <c r="C32" s="1">
        <f t="shared" si="0"/>
        <v>63000</v>
      </c>
    </row>
    <row r="33" spans="1:3">
      <c r="A33" s="1">
        <v>3250</v>
      </c>
      <c r="B33" s="1">
        <v>29</v>
      </c>
      <c r="C33" s="1">
        <f t="shared" si="0"/>
        <v>94250</v>
      </c>
    </row>
    <row r="34" spans="1:3">
      <c r="A34" s="1">
        <v>3350</v>
      </c>
      <c r="B34" s="1">
        <v>15</v>
      </c>
      <c r="C34" s="1">
        <f t="shared" si="0"/>
        <v>50250</v>
      </c>
    </row>
    <row r="35" spans="1:3">
      <c r="A35" s="1">
        <v>3450</v>
      </c>
      <c r="B35" s="1">
        <v>34</v>
      </c>
      <c r="C35" s="1">
        <f t="shared" si="0"/>
        <v>117300</v>
      </c>
    </row>
    <row r="36" spans="1:3">
      <c r="A36" s="1">
        <v>3550</v>
      </c>
      <c r="B36" s="1">
        <v>11</v>
      </c>
      <c r="C36" s="1">
        <f t="shared" si="0"/>
        <v>39050</v>
      </c>
    </row>
    <row r="37" spans="1:3">
      <c r="A37" s="1">
        <v>3650</v>
      </c>
      <c r="B37" s="1">
        <v>48</v>
      </c>
      <c r="C37" s="1">
        <f t="shared" si="0"/>
        <v>175200</v>
      </c>
    </row>
    <row r="38" spans="1:3">
      <c r="A38" s="1">
        <v>3750</v>
      </c>
      <c r="B38" s="1">
        <v>14</v>
      </c>
      <c r="C38" s="1">
        <f t="shared" si="0"/>
        <v>52500</v>
      </c>
    </row>
    <row r="39" spans="1:3">
      <c r="A39" s="1">
        <v>3850</v>
      </c>
      <c r="B39" s="1">
        <v>7</v>
      </c>
      <c r="C39" s="1">
        <f t="shared" si="0"/>
        <v>26950</v>
      </c>
    </row>
    <row r="40" spans="1:3">
      <c r="A40" s="1">
        <v>3950</v>
      </c>
      <c r="B40" s="1">
        <v>22</v>
      </c>
      <c r="C40" s="1">
        <f t="shared" si="0"/>
        <v>86900</v>
      </c>
    </row>
    <row r="41" spans="1:3">
      <c r="A41" s="1">
        <v>4050</v>
      </c>
      <c r="B41" s="1">
        <v>3</v>
      </c>
      <c r="C41" s="1">
        <f t="shared" si="0"/>
        <v>12150</v>
      </c>
    </row>
    <row r="42" spans="1:3">
      <c r="A42" s="1">
        <v>4150</v>
      </c>
      <c r="B42" s="1">
        <v>5</v>
      </c>
      <c r="C42" s="1">
        <f t="shared" si="0"/>
        <v>20750</v>
      </c>
    </row>
    <row r="43" spans="1:3">
      <c r="A43" s="1">
        <v>4250</v>
      </c>
      <c r="B43" s="1">
        <v>11</v>
      </c>
      <c r="C43" s="1">
        <f t="shared" si="0"/>
        <v>46750</v>
      </c>
    </row>
    <row r="44" spans="1:3">
      <c r="A44" s="1">
        <v>4350</v>
      </c>
      <c r="B44" s="1">
        <v>9</v>
      </c>
      <c r="C44" s="1">
        <f t="shared" si="0"/>
        <v>39150</v>
      </c>
    </row>
    <row r="45" spans="1:3">
      <c r="A45" s="1">
        <v>4450</v>
      </c>
      <c r="B45" s="1">
        <v>4</v>
      </c>
      <c r="C45" s="1">
        <f t="shared" si="0"/>
        <v>17800</v>
      </c>
    </row>
    <row r="46" spans="1:3">
      <c r="A46" s="1">
        <v>4550</v>
      </c>
      <c r="B46" s="1">
        <v>0</v>
      </c>
      <c r="C46" s="1">
        <f t="shared" si="0"/>
        <v>0</v>
      </c>
    </row>
    <row r="47" spans="1:3">
      <c r="A47" s="1">
        <v>4650</v>
      </c>
      <c r="B47" s="1">
        <v>6</v>
      </c>
      <c r="C47" s="1">
        <f t="shared" si="0"/>
        <v>27900</v>
      </c>
    </row>
    <row r="48" spans="1:3">
      <c r="A48" s="1">
        <v>4750</v>
      </c>
      <c r="B48" s="1">
        <v>0</v>
      </c>
      <c r="C48" s="1">
        <f t="shared" si="0"/>
        <v>0</v>
      </c>
    </row>
    <row r="49" spans="1:3">
      <c r="A49" s="1">
        <v>4850</v>
      </c>
      <c r="B49" s="1">
        <v>1</v>
      </c>
      <c r="C49" s="1">
        <f t="shared" si="0"/>
        <v>4850</v>
      </c>
    </row>
    <row r="50" spans="1:3">
      <c r="A50" s="1">
        <v>4950</v>
      </c>
      <c r="B50" s="1">
        <v>7</v>
      </c>
      <c r="C50" s="1">
        <f t="shared" si="0"/>
        <v>34650</v>
      </c>
    </row>
    <row r="51" spans="1:3">
      <c r="A51" s="1">
        <v>5050</v>
      </c>
      <c r="B51" s="1">
        <v>1</v>
      </c>
      <c r="C51" s="1">
        <f t="shared" si="0"/>
        <v>5050</v>
      </c>
    </row>
    <row r="52" spans="1:3">
      <c r="A52" s="1">
        <v>5150</v>
      </c>
      <c r="B52" s="1">
        <v>0</v>
      </c>
      <c r="C52" s="1">
        <f t="shared" si="0"/>
        <v>0</v>
      </c>
    </row>
    <row r="53" spans="1:3">
      <c r="A53" s="1">
        <v>5250</v>
      </c>
      <c r="B53" s="1">
        <v>3</v>
      </c>
      <c r="C53" s="1">
        <f t="shared" si="0"/>
        <v>15750</v>
      </c>
    </row>
    <row r="54" spans="1:3">
      <c r="A54" s="1">
        <v>5350</v>
      </c>
      <c r="B54" s="1">
        <v>0</v>
      </c>
      <c r="C54" s="1">
        <f t="shared" si="0"/>
        <v>0</v>
      </c>
    </row>
    <row r="55" spans="1:3">
      <c r="A55" s="1">
        <v>5450</v>
      </c>
      <c r="B55" s="1">
        <v>4</v>
      </c>
      <c r="C55" s="1">
        <f t="shared" si="0"/>
        <v>21800</v>
      </c>
    </row>
    <row r="56" spans="1:3">
      <c r="A56" s="1">
        <v>5550</v>
      </c>
      <c r="B56" s="1">
        <v>0</v>
      </c>
      <c r="C56" s="1">
        <f t="shared" si="0"/>
        <v>0</v>
      </c>
    </row>
    <row r="57" spans="1:3">
      <c r="A57" s="1">
        <v>5650</v>
      </c>
      <c r="B57" s="1">
        <v>0</v>
      </c>
      <c r="C57" s="1">
        <f t="shared" si="0"/>
        <v>0</v>
      </c>
    </row>
    <row r="58" spans="1:3">
      <c r="A58" s="1">
        <v>5750</v>
      </c>
      <c r="B58" s="1">
        <v>1</v>
      </c>
      <c r="C58" s="1">
        <f t="shared" si="0"/>
        <v>5750</v>
      </c>
    </row>
    <row r="59" spans="1:3">
      <c r="A59" s="1">
        <v>5850</v>
      </c>
      <c r="B59" s="1">
        <v>1</v>
      </c>
      <c r="C59" s="1">
        <f t="shared" si="0"/>
        <v>5850</v>
      </c>
    </row>
    <row r="60" spans="1:3">
      <c r="A60" s="1">
        <v>5950</v>
      </c>
      <c r="B60" s="1">
        <v>0</v>
      </c>
      <c r="C60" s="1">
        <f t="shared" si="0"/>
        <v>0</v>
      </c>
    </row>
    <row r="61" spans="1:3">
      <c r="A61" s="1">
        <v>6050</v>
      </c>
      <c r="B61" s="1">
        <v>0</v>
      </c>
      <c r="C61" s="1">
        <f t="shared" si="0"/>
        <v>0</v>
      </c>
    </row>
    <row r="62" spans="1:3">
      <c r="A62" s="1">
        <v>6150</v>
      </c>
      <c r="B62" s="1">
        <v>0</v>
      </c>
      <c r="C62" s="1">
        <f t="shared" si="0"/>
        <v>0</v>
      </c>
    </row>
    <row r="63" spans="1:3">
      <c r="A63" s="1">
        <v>6250</v>
      </c>
      <c r="B63" s="1">
        <v>0</v>
      </c>
      <c r="C63" s="1">
        <f t="shared" si="0"/>
        <v>0</v>
      </c>
    </row>
    <row r="64" spans="1:3">
      <c r="A64" s="1">
        <v>6350</v>
      </c>
      <c r="B64" s="1">
        <v>0</v>
      </c>
      <c r="C64" s="1">
        <f t="shared" si="0"/>
        <v>0</v>
      </c>
    </row>
    <row r="65" spans="1:3">
      <c r="A65" s="1">
        <v>6450</v>
      </c>
      <c r="B65" s="1">
        <v>0</v>
      </c>
      <c r="C65" s="1">
        <f t="shared" si="0"/>
        <v>0</v>
      </c>
    </row>
    <row r="66" spans="1:3">
      <c r="A66" s="1">
        <v>6550</v>
      </c>
      <c r="B66" s="1">
        <v>0</v>
      </c>
      <c r="C66" s="1">
        <f t="shared" si="0"/>
        <v>0</v>
      </c>
    </row>
    <row r="67" spans="1:3">
      <c r="A67" s="1">
        <v>6650</v>
      </c>
      <c r="B67" s="1">
        <v>0</v>
      </c>
      <c r="C67" s="1">
        <f t="shared" si="0"/>
        <v>0</v>
      </c>
    </row>
    <row r="68" spans="1:3">
      <c r="A68" s="1">
        <v>6750</v>
      </c>
      <c r="B68" s="1">
        <v>0</v>
      </c>
      <c r="C68" s="1">
        <f t="shared" si="0"/>
        <v>0</v>
      </c>
    </row>
    <row r="69" spans="1:3">
      <c r="A69" s="1">
        <v>6850</v>
      </c>
      <c r="B69" s="1">
        <v>0</v>
      </c>
      <c r="C69" s="1">
        <f t="shared" ref="C69:C132" si="1">B69*A69</f>
        <v>0</v>
      </c>
    </row>
    <row r="70" spans="1:3">
      <c r="A70" s="1">
        <v>6950</v>
      </c>
      <c r="B70" s="1">
        <v>0</v>
      </c>
      <c r="C70" s="1">
        <f t="shared" si="1"/>
        <v>0</v>
      </c>
    </row>
    <row r="71" spans="1:3">
      <c r="A71" s="1">
        <v>7050</v>
      </c>
      <c r="B71" s="1">
        <v>0</v>
      </c>
      <c r="C71" s="1">
        <f t="shared" si="1"/>
        <v>0</v>
      </c>
    </row>
    <row r="72" spans="1:3">
      <c r="A72" s="1">
        <v>7150</v>
      </c>
      <c r="B72" s="1">
        <v>0</v>
      </c>
      <c r="C72" s="1">
        <f t="shared" si="1"/>
        <v>0</v>
      </c>
    </row>
    <row r="73" spans="1:3">
      <c r="A73" s="1">
        <v>7250</v>
      </c>
      <c r="B73" s="1">
        <v>0</v>
      </c>
      <c r="C73" s="1">
        <f t="shared" si="1"/>
        <v>0</v>
      </c>
    </row>
    <row r="74" spans="1:3">
      <c r="A74" s="1">
        <v>7350</v>
      </c>
      <c r="B74" s="1">
        <v>0</v>
      </c>
      <c r="C74" s="1">
        <f t="shared" si="1"/>
        <v>0</v>
      </c>
    </row>
    <row r="75" spans="1:3">
      <c r="A75" s="1">
        <v>7450</v>
      </c>
      <c r="B75" s="1">
        <v>0</v>
      </c>
      <c r="C75" s="1">
        <f t="shared" si="1"/>
        <v>0</v>
      </c>
    </row>
    <row r="76" spans="1:3">
      <c r="A76" s="1">
        <v>7550</v>
      </c>
      <c r="B76" s="1">
        <v>0</v>
      </c>
      <c r="C76" s="1">
        <f t="shared" si="1"/>
        <v>0</v>
      </c>
    </row>
    <row r="77" spans="1:3">
      <c r="A77" s="1">
        <v>7650</v>
      </c>
      <c r="B77" s="1">
        <v>0</v>
      </c>
      <c r="C77" s="1">
        <f t="shared" si="1"/>
        <v>0</v>
      </c>
    </row>
    <row r="78" spans="1:3">
      <c r="A78" s="1">
        <v>7750</v>
      </c>
      <c r="B78" s="1">
        <v>0</v>
      </c>
      <c r="C78" s="1">
        <f t="shared" si="1"/>
        <v>0</v>
      </c>
    </row>
    <row r="79" spans="1:3">
      <c r="A79" s="1">
        <v>7850</v>
      </c>
      <c r="B79" s="1">
        <v>0</v>
      </c>
      <c r="C79" s="1">
        <f t="shared" si="1"/>
        <v>0</v>
      </c>
    </row>
    <row r="80" spans="1:3">
      <c r="A80" s="1">
        <v>7950</v>
      </c>
      <c r="B80" s="1">
        <v>0</v>
      </c>
      <c r="C80" s="1">
        <f t="shared" si="1"/>
        <v>0</v>
      </c>
    </row>
    <row r="81" spans="1:3">
      <c r="A81" s="1">
        <v>8050</v>
      </c>
      <c r="B81" s="1">
        <v>0</v>
      </c>
      <c r="C81" s="1">
        <f t="shared" si="1"/>
        <v>0</v>
      </c>
    </row>
    <row r="82" spans="1:3">
      <c r="A82" s="1">
        <v>8150</v>
      </c>
      <c r="B82" s="1">
        <v>0</v>
      </c>
      <c r="C82" s="1">
        <f t="shared" si="1"/>
        <v>0</v>
      </c>
    </row>
    <row r="83" spans="1:3">
      <c r="A83" s="1">
        <v>8250</v>
      </c>
      <c r="B83" s="1">
        <v>0</v>
      </c>
      <c r="C83" s="1">
        <f t="shared" si="1"/>
        <v>0</v>
      </c>
    </row>
    <row r="84" spans="1:3">
      <c r="A84" s="1">
        <v>8350</v>
      </c>
      <c r="B84" s="1">
        <v>0</v>
      </c>
      <c r="C84" s="1">
        <f t="shared" si="1"/>
        <v>0</v>
      </c>
    </row>
    <row r="85" spans="1:3">
      <c r="A85" s="1">
        <v>8450</v>
      </c>
      <c r="B85" s="1">
        <v>0</v>
      </c>
      <c r="C85" s="1">
        <f t="shared" si="1"/>
        <v>0</v>
      </c>
    </row>
    <row r="86" spans="1:3">
      <c r="A86" s="1">
        <v>8550</v>
      </c>
      <c r="B86" s="1">
        <v>0</v>
      </c>
      <c r="C86" s="1">
        <f t="shared" si="1"/>
        <v>0</v>
      </c>
    </row>
    <row r="87" spans="1:3">
      <c r="A87" s="1">
        <v>8650</v>
      </c>
      <c r="B87" s="1">
        <v>0</v>
      </c>
      <c r="C87" s="1">
        <f t="shared" si="1"/>
        <v>0</v>
      </c>
    </row>
    <row r="88" spans="1:3">
      <c r="A88" s="1">
        <v>8750</v>
      </c>
      <c r="B88" s="1">
        <v>0</v>
      </c>
      <c r="C88" s="1">
        <f t="shared" si="1"/>
        <v>0</v>
      </c>
    </row>
    <row r="89" spans="1:3">
      <c r="A89" s="1">
        <v>8850</v>
      </c>
      <c r="B89" s="1">
        <v>0</v>
      </c>
      <c r="C89" s="1">
        <f t="shared" si="1"/>
        <v>0</v>
      </c>
    </row>
    <row r="90" spans="1:3">
      <c r="A90" s="1">
        <v>8950</v>
      </c>
      <c r="B90" s="1">
        <v>0</v>
      </c>
      <c r="C90" s="1">
        <f t="shared" si="1"/>
        <v>0</v>
      </c>
    </row>
    <row r="91" spans="1:3">
      <c r="A91" s="1">
        <v>9050</v>
      </c>
      <c r="B91" s="1">
        <v>0</v>
      </c>
      <c r="C91" s="1">
        <f t="shared" si="1"/>
        <v>0</v>
      </c>
    </row>
    <row r="92" spans="1:3">
      <c r="A92" s="1">
        <v>9150</v>
      </c>
      <c r="B92" s="1">
        <v>0</v>
      </c>
      <c r="C92" s="1">
        <f t="shared" si="1"/>
        <v>0</v>
      </c>
    </row>
    <row r="93" spans="1:3">
      <c r="A93" s="1">
        <v>9250</v>
      </c>
      <c r="B93" s="1">
        <v>0</v>
      </c>
      <c r="C93" s="1">
        <f t="shared" si="1"/>
        <v>0</v>
      </c>
    </row>
    <row r="94" spans="1:3">
      <c r="A94" s="1">
        <v>9350</v>
      </c>
      <c r="B94" s="1">
        <v>0</v>
      </c>
      <c r="C94" s="1">
        <f t="shared" si="1"/>
        <v>0</v>
      </c>
    </row>
    <row r="95" spans="1:3">
      <c r="A95" s="1">
        <v>9450</v>
      </c>
      <c r="B95" s="1">
        <v>0</v>
      </c>
      <c r="C95" s="1">
        <f t="shared" si="1"/>
        <v>0</v>
      </c>
    </row>
    <row r="96" spans="1:3">
      <c r="A96" s="1">
        <v>9550</v>
      </c>
      <c r="B96" s="1">
        <v>0</v>
      </c>
      <c r="C96" s="1">
        <f t="shared" si="1"/>
        <v>0</v>
      </c>
    </row>
    <row r="97" spans="1:3">
      <c r="A97" s="1">
        <v>9650</v>
      </c>
      <c r="B97" s="1">
        <v>0</v>
      </c>
      <c r="C97" s="1">
        <f t="shared" si="1"/>
        <v>0</v>
      </c>
    </row>
    <row r="98" spans="1:3">
      <c r="A98" s="1">
        <v>9750</v>
      </c>
      <c r="B98" s="1">
        <v>0</v>
      </c>
      <c r="C98" s="1">
        <f t="shared" si="1"/>
        <v>0</v>
      </c>
    </row>
    <row r="99" spans="1:3">
      <c r="A99" s="1">
        <v>9850</v>
      </c>
      <c r="B99" s="1">
        <v>0</v>
      </c>
      <c r="C99" s="1">
        <f t="shared" si="1"/>
        <v>0</v>
      </c>
    </row>
    <row r="100" spans="1:3">
      <c r="A100" s="1">
        <v>9950</v>
      </c>
      <c r="B100" s="1">
        <v>0</v>
      </c>
      <c r="C100" s="1">
        <f t="shared" si="1"/>
        <v>0</v>
      </c>
    </row>
    <row r="101" spans="1:3">
      <c r="A101" s="1">
        <v>10050</v>
      </c>
      <c r="B101" s="1">
        <v>0</v>
      </c>
      <c r="C101" s="1">
        <f t="shared" si="1"/>
        <v>0</v>
      </c>
    </row>
    <row r="102" spans="1:3">
      <c r="A102" s="1">
        <v>10150</v>
      </c>
      <c r="B102" s="1">
        <v>0</v>
      </c>
      <c r="C102" s="1">
        <f t="shared" si="1"/>
        <v>0</v>
      </c>
    </row>
    <row r="103" spans="1:3">
      <c r="A103" s="1">
        <v>10250</v>
      </c>
      <c r="B103" s="1">
        <v>0</v>
      </c>
      <c r="C103" s="1">
        <f t="shared" si="1"/>
        <v>0</v>
      </c>
    </row>
    <row r="104" spans="1:3">
      <c r="A104" s="1">
        <v>10350</v>
      </c>
      <c r="B104" s="1">
        <v>0</v>
      </c>
      <c r="C104" s="1">
        <f t="shared" si="1"/>
        <v>0</v>
      </c>
    </row>
    <row r="105" spans="1:3">
      <c r="A105" s="1">
        <v>10450</v>
      </c>
      <c r="B105" s="1">
        <v>0</v>
      </c>
      <c r="C105" s="1">
        <f t="shared" si="1"/>
        <v>0</v>
      </c>
    </row>
    <row r="106" spans="1:3">
      <c r="A106" s="1">
        <v>10550</v>
      </c>
      <c r="B106" s="1">
        <v>0</v>
      </c>
      <c r="C106" s="1">
        <f t="shared" si="1"/>
        <v>0</v>
      </c>
    </row>
    <row r="107" spans="1:3">
      <c r="A107" s="1">
        <v>10650</v>
      </c>
      <c r="B107" s="1">
        <v>0</v>
      </c>
      <c r="C107" s="1">
        <f t="shared" si="1"/>
        <v>0</v>
      </c>
    </row>
    <row r="108" spans="1:3">
      <c r="A108" s="1">
        <v>10750</v>
      </c>
      <c r="B108" s="1">
        <v>0</v>
      </c>
      <c r="C108" s="1">
        <f t="shared" si="1"/>
        <v>0</v>
      </c>
    </row>
    <row r="109" spans="1:3">
      <c r="A109" s="1">
        <v>10850</v>
      </c>
      <c r="B109" s="1">
        <v>0</v>
      </c>
      <c r="C109" s="1">
        <f t="shared" si="1"/>
        <v>0</v>
      </c>
    </row>
    <row r="110" spans="1:3">
      <c r="A110" s="1">
        <v>10950</v>
      </c>
      <c r="B110" s="1">
        <v>0</v>
      </c>
      <c r="C110" s="1">
        <f t="shared" si="1"/>
        <v>0</v>
      </c>
    </row>
    <row r="111" spans="1:3">
      <c r="A111" s="1">
        <v>11050</v>
      </c>
      <c r="B111" s="1">
        <v>0</v>
      </c>
      <c r="C111" s="1">
        <f t="shared" si="1"/>
        <v>0</v>
      </c>
    </row>
    <row r="112" spans="1:3">
      <c r="A112" s="1">
        <v>11150</v>
      </c>
      <c r="B112" s="1">
        <v>0</v>
      </c>
      <c r="C112" s="1">
        <f t="shared" si="1"/>
        <v>0</v>
      </c>
    </row>
    <row r="113" spans="1:3">
      <c r="A113" s="1">
        <v>11250</v>
      </c>
      <c r="B113" s="1">
        <v>0</v>
      </c>
      <c r="C113" s="1">
        <f t="shared" si="1"/>
        <v>0</v>
      </c>
    </row>
    <row r="114" spans="1:3">
      <c r="A114" s="1">
        <v>11350</v>
      </c>
      <c r="B114" s="1">
        <v>0</v>
      </c>
      <c r="C114" s="1">
        <f t="shared" si="1"/>
        <v>0</v>
      </c>
    </row>
    <row r="115" spans="1:3">
      <c r="A115" s="1">
        <v>11450</v>
      </c>
      <c r="B115" s="1">
        <v>0</v>
      </c>
      <c r="C115" s="1">
        <f t="shared" si="1"/>
        <v>0</v>
      </c>
    </row>
    <row r="116" spans="1:3">
      <c r="A116" s="1">
        <v>11550</v>
      </c>
      <c r="B116" s="1">
        <v>0</v>
      </c>
      <c r="C116" s="1">
        <f t="shared" si="1"/>
        <v>0</v>
      </c>
    </row>
    <row r="117" spans="1:3">
      <c r="A117" s="1">
        <v>11650</v>
      </c>
      <c r="B117" s="1">
        <v>0</v>
      </c>
      <c r="C117" s="1">
        <f t="shared" si="1"/>
        <v>0</v>
      </c>
    </row>
    <row r="118" spans="1:3">
      <c r="A118" s="1">
        <v>11750</v>
      </c>
      <c r="B118" s="1">
        <v>0</v>
      </c>
      <c r="C118" s="1">
        <f t="shared" si="1"/>
        <v>0</v>
      </c>
    </row>
    <row r="119" spans="1:3">
      <c r="A119" s="1">
        <v>11850</v>
      </c>
      <c r="B119" s="1">
        <v>0</v>
      </c>
      <c r="C119" s="1">
        <f t="shared" si="1"/>
        <v>0</v>
      </c>
    </row>
    <row r="120" spans="1:3">
      <c r="A120" s="1">
        <v>11950</v>
      </c>
      <c r="B120" s="1">
        <v>0</v>
      </c>
      <c r="C120" s="1">
        <f t="shared" si="1"/>
        <v>0</v>
      </c>
    </row>
    <row r="121" spans="1:3">
      <c r="A121" s="1">
        <v>12050</v>
      </c>
      <c r="B121" s="1">
        <v>0</v>
      </c>
      <c r="C121" s="1">
        <f t="shared" si="1"/>
        <v>0</v>
      </c>
    </row>
    <row r="122" spans="1:3">
      <c r="A122" s="1">
        <v>12150</v>
      </c>
      <c r="B122" s="1">
        <v>0</v>
      </c>
      <c r="C122" s="1">
        <f t="shared" si="1"/>
        <v>0</v>
      </c>
    </row>
    <row r="123" spans="1:3">
      <c r="A123" s="1">
        <v>12250</v>
      </c>
      <c r="B123" s="1">
        <v>0</v>
      </c>
      <c r="C123" s="1">
        <f t="shared" si="1"/>
        <v>0</v>
      </c>
    </row>
    <row r="124" spans="1:3">
      <c r="A124" s="1">
        <v>12350</v>
      </c>
      <c r="B124" s="1">
        <v>0</v>
      </c>
      <c r="C124" s="1">
        <f t="shared" si="1"/>
        <v>0</v>
      </c>
    </row>
    <row r="125" spans="1:3">
      <c r="A125" s="1">
        <v>12450</v>
      </c>
      <c r="B125" s="1">
        <v>0</v>
      </c>
      <c r="C125" s="1">
        <f t="shared" si="1"/>
        <v>0</v>
      </c>
    </row>
    <row r="126" spans="1:3">
      <c r="A126" s="1">
        <v>12550</v>
      </c>
      <c r="B126" s="1">
        <v>0</v>
      </c>
      <c r="C126" s="1">
        <f t="shared" si="1"/>
        <v>0</v>
      </c>
    </row>
    <row r="127" spans="1:3">
      <c r="A127" s="1">
        <v>12650</v>
      </c>
      <c r="B127" s="1">
        <v>0</v>
      </c>
      <c r="C127" s="1">
        <f t="shared" si="1"/>
        <v>0</v>
      </c>
    </row>
    <row r="128" spans="1:3">
      <c r="A128" s="1">
        <v>12750</v>
      </c>
      <c r="B128" s="1">
        <v>0</v>
      </c>
      <c r="C128" s="1">
        <f t="shared" si="1"/>
        <v>0</v>
      </c>
    </row>
    <row r="129" spans="1:3">
      <c r="A129" s="1">
        <v>12850</v>
      </c>
      <c r="B129" s="1">
        <v>0</v>
      </c>
      <c r="C129" s="1">
        <f t="shared" si="1"/>
        <v>0</v>
      </c>
    </row>
    <row r="130" spans="1:3">
      <c r="A130" s="1">
        <v>12950</v>
      </c>
      <c r="B130" s="1">
        <v>0</v>
      </c>
      <c r="C130" s="1">
        <f t="shared" si="1"/>
        <v>0</v>
      </c>
    </row>
    <row r="131" spans="1:3">
      <c r="A131" s="1">
        <v>13050</v>
      </c>
      <c r="B131" s="1">
        <v>1</v>
      </c>
      <c r="C131" s="1">
        <f t="shared" si="1"/>
        <v>13050</v>
      </c>
    </row>
    <row r="132" spans="1:3">
      <c r="A132" s="1">
        <v>13150</v>
      </c>
      <c r="B132" s="1">
        <v>0</v>
      </c>
      <c r="C132" s="1">
        <f t="shared" si="1"/>
        <v>0</v>
      </c>
    </row>
    <row r="133" spans="1:3">
      <c r="A133" s="1"/>
      <c r="B133" s="1">
        <f>SUM(B4:B132)</f>
        <v>1461</v>
      </c>
      <c r="C133" s="1">
        <f>SUM(C4:C132)</f>
        <v>2796750</v>
      </c>
    </row>
    <row r="134" spans="1:3">
      <c r="A134" s="1"/>
      <c r="B134" s="1"/>
      <c r="C134" s="1"/>
    </row>
  </sheetData>
  <mergeCells count="1">
    <mergeCell ref="A1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I53"/>
  <sheetViews>
    <sheetView workbookViewId="0">
      <selection activeCell="K23" sqref="K23"/>
    </sheetView>
  </sheetViews>
  <sheetFormatPr defaultRowHeight="15"/>
  <sheetData>
    <row r="3" spans="1:9">
      <c r="A3" s="2" t="s">
        <v>59</v>
      </c>
      <c r="B3" s="2"/>
      <c r="C3" s="2"/>
      <c r="D3" s="2"/>
      <c r="F3" s="3" t="s">
        <v>58</v>
      </c>
      <c r="G3" s="4"/>
      <c r="H3" s="4"/>
      <c r="I3" s="5"/>
    </row>
    <row r="4" spans="1:9">
      <c r="A4" s="1" t="s">
        <v>1</v>
      </c>
      <c r="B4" s="1">
        <v>1350</v>
      </c>
      <c r="C4" s="1">
        <v>184</v>
      </c>
      <c r="D4" s="1">
        <f>B4*C4</f>
        <v>248400</v>
      </c>
      <c r="F4" s="1" t="s">
        <v>8</v>
      </c>
      <c r="G4" s="1">
        <v>1950</v>
      </c>
      <c r="H4" s="1">
        <v>1</v>
      </c>
      <c r="I4" s="1">
        <f>G4*H4</f>
        <v>1950</v>
      </c>
    </row>
    <row r="5" spans="1:9">
      <c r="A5" s="1" t="s">
        <v>2</v>
      </c>
      <c r="B5" s="1">
        <v>1500</v>
      </c>
      <c r="C5" s="1">
        <v>226</v>
      </c>
      <c r="D5" s="1">
        <f t="shared" ref="D5:D10" si="0">B5*C5</f>
        <v>339000</v>
      </c>
      <c r="F5" s="1" t="s">
        <v>9</v>
      </c>
      <c r="G5" s="1">
        <v>2050</v>
      </c>
      <c r="H5" s="1"/>
      <c r="I5" s="1">
        <f t="shared" ref="I5:I52" si="1">G5*H5</f>
        <v>0</v>
      </c>
    </row>
    <row r="6" spans="1:9">
      <c r="A6" s="1" t="s">
        <v>3</v>
      </c>
      <c r="B6" s="1">
        <v>1600</v>
      </c>
      <c r="C6" s="1">
        <v>208</v>
      </c>
      <c r="D6" s="1">
        <f t="shared" si="0"/>
        <v>332800</v>
      </c>
      <c r="F6" s="1" t="s">
        <v>10</v>
      </c>
      <c r="G6" s="1">
        <v>2150</v>
      </c>
      <c r="H6" s="1">
        <v>3</v>
      </c>
      <c r="I6" s="1">
        <f t="shared" si="1"/>
        <v>6450</v>
      </c>
    </row>
    <row r="7" spans="1:9">
      <c r="A7" s="1" t="s">
        <v>4</v>
      </c>
      <c r="B7" s="1">
        <v>1700</v>
      </c>
      <c r="C7" s="1">
        <v>119</v>
      </c>
      <c r="D7" s="1">
        <f t="shared" si="0"/>
        <v>202300</v>
      </c>
      <c r="F7" s="1" t="s">
        <v>11</v>
      </c>
      <c r="G7" s="1">
        <v>2250</v>
      </c>
      <c r="H7" s="1">
        <v>1</v>
      </c>
      <c r="I7" s="1">
        <f t="shared" si="1"/>
        <v>2250</v>
      </c>
    </row>
    <row r="8" spans="1:9">
      <c r="A8" s="1" t="s">
        <v>5</v>
      </c>
      <c r="B8" s="1">
        <v>1900</v>
      </c>
      <c r="C8" s="1"/>
      <c r="D8" s="1">
        <f t="shared" si="0"/>
        <v>0</v>
      </c>
      <c r="F8" s="1" t="s">
        <v>12</v>
      </c>
      <c r="G8" s="1">
        <v>2350</v>
      </c>
      <c r="H8" s="1">
        <v>5</v>
      </c>
      <c r="I8" s="1">
        <f t="shared" si="1"/>
        <v>11750</v>
      </c>
    </row>
    <row r="9" spans="1:9">
      <c r="A9" s="1" t="s">
        <v>6</v>
      </c>
      <c r="B9" s="1">
        <v>2000</v>
      </c>
      <c r="C9" s="1">
        <v>6</v>
      </c>
      <c r="D9" s="1">
        <f t="shared" si="0"/>
        <v>12000</v>
      </c>
      <c r="F9" s="1" t="s">
        <v>13</v>
      </c>
      <c r="G9" s="1">
        <v>2450</v>
      </c>
      <c r="H9" s="1">
        <v>2</v>
      </c>
      <c r="I9" s="1">
        <f t="shared" si="1"/>
        <v>4900</v>
      </c>
    </row>
    <row r="10" spans="1:9">
      <c r="A10" s="1" t="s">
        <v>7</v>
      </c>
      <c r="B10" s="1">
        <v>2300</v>
      </c>
      <c r="C10" s="1">
        <v>28</v>
      </c>
      <c r="D10" s="1">
        <f t="shared" si="0"/>
        <v>64400</v>
      </c>
      <c r="F10" s="1" t="s">
        <v>14</v>
      </c>
      <c r="G10" s="1">
        <v>2550</v>
      </c>
      <c r="H10" s="1"/>
      <c r="I10" s="1">
        <f t="shared" si="1"/>
        <v>0</v>
      </c>
    </row>
    <row r="11" spans="1:9">
      <c r="A11" s="1"/>
      <c r="B11" s="1"/>
      <c r="C11" s="1">
        <f>SUM(C4:C10)</f>
        <v>771</v>
      </c>
      <c r="D11" s="1">
        <f>SUM(D4:D10)</f>
        <v>1198900</v>
      </c>
      <c r="F11" s="1" t="s">
        <v>15</v>
      </c>
      <c r="G11" s="1">
        <v>2650</v>
      </c>
      <c r="H11" s="1">
        <v>1</v>
      </c>
      <c r="I11" s="1">
        <f t="shared" si="1"/>
        <v>2650</v>
      </c>
    </row>
    <row r="12" spans="1:9">
      <c r="F12" s="1" t="s">
        <v>16</v>
      </c>
      <c r="G12" s="1">
        <v>2750</v>
      </c>
      <c r="H12" s="1">
        <v>3</v>
      </c>
      <c r="I12" s="1">
        <f t="shared" si="1"/>
        <v>8250</v>
      </c>
    </row>
    <row r="13" spans="1:9">
      <c r="F13" s="1" t="s">
        <v>17</v>
      </c>
      <c r="G13" s="1">
        <v>2850</v>
      </c>
      <c r="H13" s="1">
        <v>2</v>
      </c>
      <c r="I13" s="1">
        <f t="shared" si="1"/>
        <v>5700</v>
      </c>
    </row>
    <row r="14" spans="1:9">
      <c r="A14" s="1" t="s">
        <v>60</v>
      </c>
      <c r="B14" s="1">
        <v>2600</v>
      </c>
      <c r="C14" s="1">
        <v>132</v>
      </c>
      <c r="D14" s="1">
        <f>B14*C14</f>
        <v>343200</v>
      </c>
      <c r="F14" s="1" t="s">
        <v>18</v>
      </c>
      <c r="G14" s="1">
        <v>2950</v>
      </c>
      <c r="H14" s="1">
        <v>1</v>
      </c>
      <c r="I14" s="1">
        <f t="shared" si="1"/>
        <v>2950</v>
      </c>
    </row>
    <row r="15" spans="1:9">
      <c r="A15" s="1" t="s">
        <v>61</v>
      </c>
      <c r="B15" s="1">
        <v>2850</v>
      </c>
      <c r="C15" s="1">
        <v>32</v>
      </c>
      <c r="D15" s="1">
        <f>B15*C15</f>
        <v>91200</v>
      </c>
      <c r="F15" s="1" t="s">
        <v>19</v>
      </c>
      <c r="G15" s="1">
        <v>3050</v>
      </c>
      <c r="H15" s="1">
        <v>5</v>
      </c>
      <c r="I15" s="1">
        <f t="shared" si="1"/>
        <v>15250</v>
      </c>
    </row>
    <row r="16" spans="1:9">
      <c r="A16" s="1"/>
      <c r="B16" s="1"/>
      <c r="C16" s="1"/>
      <c r="D16" s="1"/>
      <c r="F16" s="1" t="s">
        <v>20</v>
      </c>
      <c r="G16" s="1">
        <v>3150</v>
      </c>
      <c r="H16" s="1">
        <v>10</v>
      </c>
      <c r="I16" s="1">
        <f t="shared" si="1"/>
        <v>31500</v>
      </c>
    </row>
    <row r="17" spans="1:9">
      <c r="A17" s="1"/>
      <c r="B17" s="1"/>
      <c r="C17" s="1"/>
      <c r="D17" s="1">
        <f>B17*C17</f>
        <v>0</v>
      </c>
      <c r="F17" s="1" t="s">
        <v>21</v>
      </c>
      <c r="G17" s="1">
        <v>3250</v>
      </c>
      <c r="H17" s="1">
        <v>1</v>
      </c>
      <c r="I17" s="1">
        <f t="shared" si="1"/>
        <v>3250</v>
      </c>
    </row>
    <row r="18" spans="1:9">
      <c r="A18" s="1"/>
      <c r="B18" s="1"/>
      <c r="C18" s="1">
        <f>SUM(C14:C17)</f>
        <v>164</v>
      </c>
      <c r="D18" s="1">
        <f>SUM(D14:D17)</f>
        <v>434400</v>
      </c>
      <c r="F18" s="1" t="s">
        <v>22</v>
      </c>
      <c r="G18" s="1">
        <v>3350</v>
      </c>
      <c r="H18" s="1">
        <v>4</v>
      </c>
      <c r="I18" s="1">
        <f t="shared" si="1"/>
        <v>13400</v>
      </c>
    </row>
    <row r="19" spans="1:9">
      <c r="F19" s="1" t="s">
        <v>23</v>
      </c>
      <c r="G19" s="1">
        <v>3450</v>
      </c>
      <c r="H19" s="1">
        <v>3</v>
      </c>
      <c r="I19" s="1">
        <f t="shared" si="1"/>
        <v>10350</v>
      </c>
    </row>
    <row r="20" spans="1:9">
      <c r="F20" s="1" t="s">
        <v>24</v>
      </c>
      <c r="G20" s="1">
        <v>3550</v>
      </c>
      <c r="H20" s="1">
        <v>1</v>
      </c>
      <c r="I20" s="1">
        <f t="shared" si="1"/>
        <v>3550</v>
      </c>
    </row>
    <row r="21" spans="1:9">
      <c r="F21" s="1" t="s">
        <v>25</v>
      </c>
      <c r="G21" s="1">
        <v>3650</v>
      </c>
      <c r="H21" s="1">
        <v>2</v>
      </c>
      <c r="I21" s="1">
        <f t="shared" si="1"/>
        <v>7300</v>
      </c>
    </row>
    <row r="22" spans="1:9">
      <c r="F22" s="1" t="s">
        <v>26</v>
      </c>
      <c r="G22" s="1">
        <v>3750</v>
      </c>
      <c r="H22" s="1"/>
      <c r="I22" s="1">
        <f t="shared" si="1"/>
        <v>0</v>
      </c>
    </row>
    <row r="23" spans="1:9">
      <c r="F23" s="1" t="s">
        <v>27</v>
      </c>
      <c r="G23" s="1">
        <v>3850</v>
      </c>
      <c r="H23" s="1">
        <v>1</v>
      </c>
      <c r="I23" s="1">
        <f t="shared" si="1"/>
        <v>3850</v>
      </c>
    </row>
    <row r="24" spans="1:9">
      <c r="F24" s="1" t="s">
        <v>28</v>
      </c>
      <c r="G24" s="1">
        <v>3950</v>
      </c>
      <c r="H24" s="1">
        <v>3</v>
      </c>
      <c r="I24" s="1">
        <f t="shared" si="1"/>
        <v>11850</v>
      </c>
    </row>
    <row r="25" spans="1:9">
      <c r="F25" s="1" t="s">
        <v>29</v>
      </c>
      <c r="G25" s="1">
        <v>4050</v>
      </c>
      <c r="H25" s="1"/>
      <c r="I25" s="1">
        <f t="shared" si="1"/>
        <v>0</v>
      </c>
    </row>
    <row r="26" spans="1:9">
      <c r="F26" s="1" t="s">
        <v>30</v>
      </c>
      <c r="G26" s="1">
        <v>4150</v>
      </c>
      <c r="H26" s="1">
        <v>3</v>
      </c>
      <c r="I26" s="1">
        <f t="shared" si="1"/>
        <v>12450</v>
      </c>
    </row>
    <row r="27" spans="1:9">
      <c r="F27" s="1" t="s">
        <v>31</v>
      </c>
      <c r="G27" s="1">
        <v>4250</v>
      </c>
      <c r="H27" s="1">
        <v>1</v>
      </c>
      <c r="I27" s="1">
        <f t="shared" si="1"/>
        <v>4250</v>
      </c>
    </row>
    <row r="28" spans="1:9">
      <c r="F28" s="1" t="s">
        <v>32</v>
      </c>
      <c r="G28" s="1">
        <v>4350</v>
      </c>
      <c r="H28" s="1"/>
      <c r="I28" s="1">
        <f t="shared" si="1"/>
        <v>0</v>
      </c>
    </row>
    <row r="29" spans="1:9">
      <c r="F29" s="1" t="s">
        <v>33</v>
      </c>
      <c r="G29" s="1">
        <v>4450</v>
      </c>
      <c r="H29" s="1">
        <v>2</v>
      </c>
      <c r="I29" s="1">
        <f t="shared" si="1"/>
        <v>8900</v>
      </c>
    </row>
    <row r="30" spans="1:9">
      <c r="F30" s="1" t="s">
        <v>34</v>
      </c>
      <c r="G30" s="1">
        <v>4550</v>
      </c>
      <c r="H30" s="1">
        <v>1</v>
      </c>
      <c r="I30" s="1">
        <f t="shared" si="1"/>
        <v>4550</v>
      </c>
    </row>
    <row r="31" spans="1:9">
      <c r="F31" s="1" t="s">
        <v>35</v>
      </c>
      <c r="G31" s="1">
        <v>4650</v>
      </c>
      <c r="H31" s="1"/>
      <c r="I31" s="1">
        <f t="shared" si="1"/>
        <v>0</v>
      </c>
    </row>
    <row r="32" spans="1:9">
      <c r="F32" s="1" t="s">
        <v>36</v>
      </c>
      <c r="G32" s="1">
        <v>4750</v>
      </c>
      <c r="H32" s="1">
        <v>4</v>
      </c>
      <c r="I32" s="1">
        <f t="shared" si="1"/>
        <v>19000</v>
      </c>
    </row>
    <row r="33" spans="6:9">
      <c r="F33" s="1" t="s">
        <v>37</v>
      </c>
      <c r="G33" s="1">
        <v>4850</v>
      </c>
      <c r="H33" s="1"/>
      <c r="I33" s="1">
        <f t="shared" si="1"/>
        <v>0</v>
      </c>
    </row>
    <row r="34" spans="6:9">
      <c r="F34" s="1" t="s">
        <v>38</v>
      </c>
      <c r="G34" s="1">
        <v>4950</v>
      </c>
      <c r="H34" s="1"/>
      <c r="I34" s="1">
        <f t="shared" si="1"/>
        <v>0</v>
      </c>
    </row>
    <row r="35" spans="6:9">
      <c r="F35" s="1" t="s">
        <v>39</v>
      </c>
      <c r="G35" s="1">
        <v>5050</v>
      </c>
      <c r="H35" s="1"/>
      <c r="I35" s="1">
        <f t="shared" si="1"/>
        <v>0</v>
      </c>
    </row>
    <row r="36" spans="6:9">
      <c r="F36" s="1" t="s">
        <v>40</v>
      </c>
      <c r="G36" s="1">
        <v>5150</v>
      </c>
      <c r="H36" s="1"/>
      <c r="I36" s="1">
        <f t="shared" si="1"/>
        <v>0</v>
      </c>
    </row>
    <row r="37" spans="6:9">
      <c r="F37" s="1" t="s">
        <v>41</v>
      </c>
      <c r="G37" s="1">
        <v>5250</v>
      </c>
      <c r="H37" s="1"/>
      <c r="I37" s="1">
        <f t="shared" si="1"/>
        <v>0</v>
      </c>
    </row>
    <row r="38" spans="6:9">
      <c r="F38" s="1" t="s">
        <v>42</v>
      </c>
      <c r="G38" s="1">
        <v>5350</v>
      </c>
      <c r="H38" s="1">
        <v>1</v>
      </c>
      <c r="I38" s="1">
        <f t="shared" si="1"/>
        <v>5350</v>
      </c>
    </row>
    <row r="39" spans="6:9">
      <c r="F39" s="1" t="s">
        <v>43</v>
      </c>
      <c r="G39" s="1">
        <v>5450</v>
      </c>
      <c r="H39" s="1"/>
      <c r="I39" s="1">
        <f t="shared" si="1"/>
        <v>0</v>
      </c>
    </row>
    <row r="40" spans="6:9">
      <c r="F40" s="1" t="s">
        <v>44</v>
      </c>
      <c r="G40" s="1">
        <v>5550</v>
      </c>
      <c r="H40" s="1"/>
      <c r="I40" s="1">
        <f t="shared" si="1"/>
        <v>0</v>
      </c>
    </row>
    <row r="41" spans="6:9">
      <c r="F41" s="1" t="s">
        <v>45</v>
      </c>
      <c r="G41" s="1">
        <v>5650</v>
      </c>
      <c r="H41" s="1"/>
      <c r="I41" s="1">
        <f t="shared" si="1"/>
        <v>0</v>
      </c>
    </row>
    <row r="42" spans="6:9">
      <c r="F42" s="1" t="s">
        <v>46</v>
      </c>
      <c r="G42" s="1">
        <v>5750</v>
      </c>
      <c r="H42" s="1"/>
      <c r="I42" s="1">
        <f t="shared" si="1"/>
        <v>0</v>
      </c>
    </row>
    <row r="43" spans="6:9">
      <c r="F43" s="1" t="s">
        <v>47</v>
      </c>
      <c r="G43" s="1">
        <v>5850</v>
      </c>
      <c r="H43" s="1">
        <v>1</v>
      </c>
      <c r="I43" s="1">
        <f t="shared" si="1"/>
        <v>5850</v>
      </c>
    </row>
    <row r="44" spans="6:9">
      <c r="F44" s="1" t="s">
        <v>48</v>
      </c>
      <c r="G44" s="1">
        <v>5950</v>
      </c>
      <c r="H44" s="1"/>
      <c r="I44" s="1">
        <f t="shared" si="1"/>
        <v>0</v>
      </c>
    </row>
    <row r="45" spans="6:9">
      <c r="F45" s="1" t="s">
        <v>49</v>
      </c>
      <c r="G45" s="1">
        <v>6050</v>
      </c>
      <c r="H45" s="1"/>
      <c r="I45" s="1">
        <f t="shared" si="1"/>
        <v>0</v>
      </c>
    </row>
    <row r="46" spans="6:9">
      <c r="F46" s="1" t="s">
        <v>50</v>
      </c>
      <c r="G46" s="1">
        <v>6150</v>
      </c>
      <c r="H46" s="1"/>
      <c r="I46" s="1">
        <f t="shared" si="1"/>
        <v>0</v>
      </c>
    </row>
    <row r="47" spans="6:9">
      <c r="F47" s="1" t="s">
        <v>51</v>
      </c>
      <c r="G47" s="1">
        <v>6250</v>
      </c>
      <c r="H47" s="1">
        <v>1</v>
      </c>
      <c r="I47" s="1">
        <f t="shared" si="1"/>
        <v>6250</v>
      </c>
    </row>
    <row r="48" spans="6:9">
      <c r="F48" s="1" t="s">
        <v>52</v>
      </c>
      <c r="G48" s="1">
        <v>6350</v>
      </c>
      <c r="H48" s="1"/>
      <c r="I48" s="1">
        <f t="shared" si="1"/>
        <v>0</v>
      </c>
    </row>
    <row r="49" spans="6:9">
      <c r="F49" s="1" t="s">
        <v>53</v>
      </c>
      <c r="G49" s="1">
        <v>6450</v>
      </c>
      <c r="H49" s="1"/>
      <c r="I49" s="1">
        <f t="shared" si="1"/>
        <v>0</v>
      </c>
    </row>
    <row r="50" spans="6:9">
      <c r="F50" s="1" t="s">
        <v>54</v>
      </c>
      <c r="G50" s="1">
        <v>6550</v>
      </c>
      <c r="H50" s="1"/>
      <c r="I50" s="1">
        <f t="shared" si="1"/>
        <v>0</v>
      </c>
    </row>
    <row r="51" spans="6:9">
      <c r="F51" s="1" t="s">
        <v>55</v>
      </c>
      <c r="G51" s="1">
        <v>6650</v>
      </c>
      <c r="H51" s="1"/>
      <c r="I51" s="1">
        <f t="shared" si="1"/>
        <v>0</v>
      </c>
    </row>
    <row r="52" spans="6:9">
      <c r="F52" s="1" t="s">
        <v>56</v>
      </c>
      <c r="G52" s="1">
        <v>6750</v>
      </c>
      <c r="H52" s="1"/>
      <c r="I52" s="1">
        <f t="shared" si="1"/>
        <v>0</v>
      </c>
    </row>
    <row r="53" spans="6:9">
      <c r="F53" s="1" t="s">
        <v>57</v>
      </c>
      <c r="G53" s="1"/>
      <c r="H53" s="1">
        <f>SUM(H4:H52)</f>
        <v>63</v>
      </c>
      <c r="I53" s="1">
        <f>SUM(I4:I52)</f>
        <v>213750</v>
      </c>
    </row>
  </sheetData>
  <mergeCells count="2">
    <mergeCell ref="A3:D3"/>
    <mergeCell ref="F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selection activeCell="F27" sqref="F27"/>
    </sheetView>
  </sheetViews>
  <sheetFormatPr defaultRowHeight="15"/>
  <sheetData>
    <row r="1" spans="1:4">
      <c r="A1" s="2" t="s">
        <v>62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1" t="s">
        <v>63</v>
      </c>
      <c r="B3" s="1">
        <v>300</v>
      </c>
      <c r="C3" s="1"/>
      <c r="D3" s="1">
        <f>B3*C3</f>
        <v>0</v>
      </c>
    </row>
    <row r="4" spans="1:4">
      <c r="A4" s="1" t="s">
        <v>64</v>
      </c>
      <c r="B4" s="1">
        <v>350</v>
      </c>
      <c r="C4" s="1"/>
      <c r="D4" s="1">
        <f t="shared" ref="D4:D40" si="0">B4*C4</f>
        <v>0</v>
      </c>
    </row>
    <row r="5" spans="1:4">
      <c r="A5" s="1" t="s">
        <v>65</v>
      </c>
      <c r="B5" s="1">
        <v>400</v>
      </c>
      <c r="C5" s="1">
        <v>1</v>
      </c>
      <c r="D5" s="1">
        <f t="shared" si="0"/>
        <v>400</v>
      </c>
    </row>
    <row r="6" spans="1:4">
      <c r="A6" s="1" t="s">
        <v>66</v>
      </c>
      <c r="B6" s="1">
        <v>450</v>
      </c>
      <c r="C6" s="1">
        <v>2</v>
      </c>
      <c r="D6" s="1">
        <f t="shared" si="0"/>
        <v>900</v>
      </c>
    </row>
    <row r="7" spans="1:4">
      <c r="A7" s="1" t="s">
        <v>67</v>
      </c>
      <c r="B7" s="1">
        <v>500</v>
      </c>
      <c r="C7" s="1">
        <v>7</v>
      </c>
      <c r="D7" s="1">
        <f t="shared" si="0"/>
        <v>3500</v>
      </c>
    </row>
    <row r="8" spans="1:4">
      <c r="A8" s="1" t="s">
        <v>68</v>
      </c>
      <c r="B8" s="1">
        <v>550</v>
      </c>
      <c r="C8" s="1"/>
      <c r="D8" s="1">
        <f t="shared" si="0"/>
        <v>0</v>
      </c>
    </row>
    <row r="9" spans="1:4">
      <c r="A9" s="1" t="s">
        <v>69</v>
      </c>
      <c r="B9" s="1">
        <v>600</v>
      </c>
      <c r="C9" s="1"/>
      <c r="D9" s="1">
        <f t="shared" si="0"/>
        <v>0</v>
      </c>
    </row>
    <row r="10" spans="1:4">
      <c r="A10" s="1" t="s">
        <v>70</v>
      </c>
      <c r="B10" s="1">
        <v>650</v>
      </c>
      <c r="C10" s="1">
        <v>2</v>
      </c>
      <c r="D10" s="1">
        <f t="shared" si="0"/>
        <v>1300</v>
      </c>
    </row>
    <row r="11" spans="1:4">
      <c r="A11" s="1" t="s">
        <v>71</v>
      </c>
      <c r="B11" s="1">
        <v>700</v>
      </c>
      <c r="C11" s="1"/>
      <c r="D11" s="1">
        <f t="shared" si="0"/>
        <v>0</v>
      </c>
    </row>
    <row r="12" spans="1:4">
      <c r="A12" s="1" t="s">
        <v>72</v>
      </c>
      <c r="B12" s="1">
        <v>750</v>
      </c>
      <c r="C12" s="1"/>
      <c r="D12" s="1">
        <f t="shared" si="0"/>
        <v>0</v>
      </c>
    </row>
    <row r="13" spans="1:4">
      <c r="A13" s="1" t="s">
        <v>73</v>
      </c>
      <c r="B13" s="1">
        <v>800</v>
      </c>
      <c r="C13" s="1">
        <v>2</v>
      </c>
      <c r="D13" s="1">
        <f t="shared" si="0"/>
        <v>1600</v>
      </c>
    </row>
    <row r="14" spans="1:4">
      <c r="A14" s="1" t="s">
        <v>74</v>
      </c>
      <c r="B14" s="1">
        <v>850</v>
      </c>
      <c r="C14" s="1">
        <v>2</v>
      </c>
      <c r="D14" s="1">
        <f t="shared" si="0"/>
        <v>1700</v>
      </c>
    </row>
    <row r="15" spans="1:4">
      <c r="A15" s="1" t="s">
        <v>75</v>
      </c>
      <c r="B15" s="1">
        <v>900</v>
      </c>
      <c r="C15" s="1"/>
      <c r="D15" s="1">
        <f t="shared" si="0"/>
        <v>0</v>
      </c>
    </row>
    <row r="16" spans="1:4">
      <c r="A16" s="1" t="s">
        <v>76</v>
      </c>
      <c r="B16" s="1">
        <v>950</v>
      </c>
      <c r="C16" s="1"/>
      <c r="D16" s="1">
        <f t="shared" si="0"/>
        <v>0</v>
      </c>
    </row>
    <row r="17" spans="1:4">
      <c r="A17" s="1" t="s">
        <v>77</v>
      </c>
      <c r="B17" s="1">
        <v>1000</v>
      </c>
      <c r="C17" s="1">
        <v>1</v>
      </c>
      <c r="D17" s="1">
        <f t="shared" si="0"/>
        <v>1000</v>
      </c>
    </row>
    <row r="18" spans="1:4">
      <c r="A18" s="1" t="s">
        <v>78</v>
      </c>
      <c r="B18" s="1">
        <v>1050</v>
      </c>
      <c r="C18" s="1">
        <v>5</v>
      </c>
      <c r="D18" s="1">
        <f t="shared" si="0"/>
        <v>5250</v>
      </c>
    </row>
    <row r="19" spans="1:4">
      <c r="A19" s="1" t="s">
        <v>79</v>
      </c>
      <c r="B19" s="1">
        <v>1100</v>
      </c>
      <c r="C19" s="1"/>
      <c r="D19" s="1">
        <f t="shared" si="0"/>
        <v>0</v>
      </c>
    </row>
    <row r="20" spans="1:4">
      <c r="A20" s="1" t="s">
        <v>80</v>
      </c>
      <c r="B20" s="1">
        <v>1150</v>
      </c>
      <c r="C20" s="1"/>
      <c r="D20" s="1">
        <f t="shared" si="0"/>
        <v>0</v>
      </c>
    </row>
    <row r="21" spans="1:4">
      <c r="A21" s="1" t="s">
        <v>81</v>
      </c>
      <c r="B21" s="1">
        <v>1200</v>
      </c>
      <c r="C21" s="1"/>
      <c r="D21" s="1">
        <f t="shared" si="0"/>
        <v>0</v>
      </c>
    </row>
    <row r="22" spans="1:4">
      <c r="A22" s="1" t="s">
        <v>82</v>
      </c>
      <c r="B22" s="1">
        <v>1250</v>
      </c>
      <c r="C22" s="1"/>
      <c r="D22" s="1">
        <f t="shared" si="0"/>
        <v>0</v>
      </c>
    </row>
    <row r="23" spans="1:4">
      <c r="A23" s="1" t="s">
        <v>83</v>
      </c>
      <c r="B23" s="1">
        <v>1300</v>
      </c>
      <c r="C23" s="1"/>
      <c r="D23" s="1">
        <f t="shared" si="0"/>
        <v>0</v>
      </c>
    </row>
    <row r="24" spans="1:4">
      <c r="A24" s="1" t="s">
        <v>84</v>
      </c>
      <c r="B24" s="1">
        <v>1350</v>
      </c>
      <c r="C24" s="1"/>
      <c r="D24" s="1">
        <f t="shared" si="0"/>
        <v>0</v>
      </c>
    </row>
    <row r="25" spans="1:4">
      <c r="A25" s="1" t="s">
        <v>85</v>
      </c>
      <c r="B25" s="1">
        <v>1400</v>
      </c>
      <c r="C25" s="1"/>
      <c r="D25" s="1">
        <f t="shared" si="0"/>
        <v>0</v>
      </c>
    </row>
    <row r="26" spans="1:4">
      <c r="A26" s="1" t="s">
        <v>86</v>
      </c>
      <c r="B26" s="1">
        <v>1450</v>
      </c>
      <c r="C26" s="1"/>
      <c r="D26" s="1">
        <f t="shared" si="0"/>
        <v>0</v>
      </c>
    </row>
    <row r="27" spans="1:4">
      <c r="A27" s="1" t="s">
        <v>87</v>
      </c>
      <c r="B27" s="1">
        <v>1500</v>
      </c>
      <c r="C27" s="1"/>
      <c r="D27" s="1">
        <f t="shared" si="0"/>
        <v>0</v>
      </c>
    </row>
    <row r="28" spans="1:4">
      <c r="A28" s="1" t="s">
        <v>88</v>
      </c>
      <c r="B28" s="1">
        <v>1550</v>
      </c>
      <c r="C28" s="1"/>
      <c r="D28" s="1">
        <f t="shared" si="0"/>
        <v>0</v>
      </c>
    </row>
    <row r="29" spans="1:4">
      <c r="A29" s="1" t="s">
        <v>89</v>
      </c>
      <c r="B29" s="1">
        <v>1600</v>
      </c>
      <c r="C29" s="1"/>
      <c r="D29" s="1">
        <f t="shared" si="0"/>
        <v>0</v>
      </c>
    </row>
    <row r="30" spans="1:4">
      <c r="A30" s="1" t="s">
        <v>90</v>
      </c>
      <c r="B30" s="1">
        <v>1650</v>
      </c>
      <c r="C30" s="1">
        <v>2</v>
      </c>
      <c r="D30" s="1">
        <f t="shared" si="0"/>
        <v>3300</v>
      </c>
    </row>
    <row r="31" spans="1:4">
      <c r="A31" s="1" t="s">
        <v>91</v>
      </c>
      <c r="B31" s="1">
        <v>1700</v>
      </c>
      <c r="C31" s="1"/>
      <c r="D31" s="1">
        <f t="shared" si="0"/>
        <v>0</v>
      </c>
    </row>
    <row r="32" spans="1:4">
      <c r="A32" s="1" t="s">
        <v>92</v>
      </c>
      <c r="B32" s="1">
        <v>1750</v>
      </c>
      <c r="C32" s="1"/>
      <c r="D32" s="1">
        <f t="shared" si="0"/>
        <v>0</v>
      </c>
    </row>
    <row r="33" spans="1:4">
      <c r="A33" s="1" t="s">
        <v>93</v>
      </c>
      <c r="B33" s="1">
        <v>1800</v>
      </c>
      <c r="C33" s="1"/>
      <c r="D33" s="1">
        <f t="shared" si="0"/>
        <v>0</v>
      </c>
    </row>
    <row r="34" spans="1:4">
      <c r="A34" s="1" t="s">
        <v>94</v>
      </c>
      <c r="B34" s="1">
        <v>1850</v>
      </c>
      <c r="C34" s="1"/>
      <c r="D34" s="1">
        <f t="shared" si="0"/>
        <v>0</v>
      </c>
    </row>
    <row r="35" spans="1:4">
      <c r="A35" s="1" t="s">
        <v>95</v>
      </c>
      <c r="B35" s="1">
        <v>1900</v>
      </c>
      <c r="C35" s="1"/>
      <c r="D35" s="1">
        <f t="shared" si="0"/>
        <v>0</v>
      </c>
    </row>
    <row r="36" spans="1:4">
      <c r="A36" s="1" t="s">
        <v>96</v>
      </c>
      <c r="B36" s="1">
        <v>1950</v>
      </c>
      <c r="C36" s="1"/>
      <c r="D36" s="1">
        <f t="shared" si="0"/>
        <v>0</v>
      </c>
    </row>
    <row r="37" spans="1:4">
      <c r="A37" s="1" t="s">
        <v>97</v>
      </c>
      <c r="B37" s="1">
        <v>2000</v>
      </c>
      <c r="C37" s="1"/>
      <c r="D37" s="1">
        <f t="shared" si="0"/>
        <v>0</v>
      </c>
    </row>
    <row r="38" spans="1:4">
      <c r="A38" s="1" t="s">
        <v>98</v>
      </c>
      <c r="B38" s="1">
        <v>2050</v>
      </c>
      <c r="C38" s="1"/>
      <c r="D38" s="1">
        <f t="shared" si="0"/>
        <v>0</v>
      </c>
    </row>
    <row r="39" spans="1:4">
      <c r="A39" s="1" t="s">
        <v>99</v>
      </c>
      <c r="B39" s="1">
        <v>2100</v>
      </c>
      <c r="C39" s="1"/>
      <c r="D39" s="1">
        <f t="shared" si="0"/>
        <v>0</v>
      </c>
    </row>
    <row r="40" spans="1:4">
      <c r="A40" s="1" t="s">
        <v>100</v>
      </c>
      <c r="B40" s="1">
        <v>2150</v>
      </c>
      <c r="C40" s="1">
        <v>5</v>
      </c>
      <c r="D40" s="1">
        <f t="shared" si="0"/>
        <v>10750</v>
      </c>
    </row>
    <row r="41" spans="1:4">
      <c r="A41" s="1"/>
      <c r="B41" s="1"/>
      <c r="C41" s="1"/>
      <c r="D41" s="1"/>
    </row>
    <row r="42" spans="1:4">
      <c r="A42" s="1"/>
      <c r="B42" s="1"/>
      <c r="C42" s="1">
        <f>SUM(C3:C41)</f>
        <v>29</v>
      </c>
      <c r="D42" s="1">
        <f>SUM(D3:D41)</f>
        <v>29700</v>
      </c>
    </row>
  </sheetData>
  <mergeCells count="1">
    <mergeCell ref="A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G29" sqref="G29"/>
    </sheetView>
  </sheetViews>
  <sheetFormatPr defaultRowHeight="15"/>
  <sheetData>
    <row r="1" spans="1:2">
      <c r="A1" t="s">
        <v>103</v>
      </c>
      <c r="B1" t="s">
        <v>104</v>
      </c>
    </row>
    <row r="2" spans="1:2">
      <c r="A2">
        <v>972</v>
      </c>
      <c r="B2">
        <v>59</v>
      </c>
    </row>
    <row r="3" spans="1:2">
      <c r="A3">
        <f>1250*A2</f>
        <v>1215000</v>
      </c>
      <c r="B3">
        <f>1700*B2</f>
        <v>100300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E22" sqref="E22"/>
    </sheetView>
  </sheetViews>
  <sheetFormatPr defaultRowHeight="15"/>
  <sheetData>
    <row r="1" spans="1:4">
      <c r="A1" s="6" t="s">
        <v>101</v>
      </c>
      <c r="B1" s="6"/>
      <c r="C1" s="6"/>
      <c r="D1" s="7"/>
    </row>
    <row r="2" spans="1:4">
      <c r="A2" s="1" t="s">
        <v>102</v>
      </c>
      <c r="B2" s="1">
        <v>300</v>
      </c>
      <c r="C2" s="1">
        <v>25</v>
      </c>
      <c r="D2" s="1">
        <f>B2*C2</f>
        <v>7500</v>
      </c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BP,SP,VIP,TZ,3Pcs </vt:lpstr>
      <vt:lpstr>TAT</vt:lpstr>
      <vt:lpstr>EX </vt:lpstr>
      <vt:lpstr>Lungi</vt:lpstr>
      <vt:lpstr>am, tx</vt:lpstr>
      <vt:lpstr>Plz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2018-07-01T09:31:09Z</dcterms:modified>
</cp:coreProperties>
</file>